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анные новые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000"/>
    <numFmt numFmtId="166" formatCode="#,##0;[Red]\(#,##0\);\-"/>
    <numFmt numFmtId="167" formatCode="0.0000;[Red]\(0.0000\);\-"/>
    <numFmt numFmtId="168" formatCode="0.00;[Red]\(0.00\);\-"/>
    <numFmt numFmtId="169" formatCode="#,##0.000"/>
    <numFmt numFmtId="170" formatCode="0.000"/>
  </numFmts>
  <fonts count="1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charset val="204"/>
      <family val="2"/>
      <color rgb="FF434343"/>
      <sz val="11"/>
      <scheme val="minor"/>
    </font>
    <font>
      <name val="Calibri"/>
      <charset val="204"/>
      <family val="2"/>
      <color theme="3" tint="0.399975585192419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00B0F0"/>
      <sz val="11"/>
      <scheme val="minor"/>
    </font>
    <font>
      <name val="Carlito"/>
      <sz val="11"/>
    </font>
    <font>
      <name val="Calibri"/>
      <charset val="204"/>
      <family val="2"/>
      <color rgb="FF000000"/>
      <sz val="10"/>
      <scheme val="minor"/>
    </font>
    <font>
      <name val="Arial"/>
      <charset val="204"/>
      <family val="2"/>
      <color rgb="FF434343"/>
      <sz val="10"/>
    </font>
    <font>
      <name val="Arial"/>
      <charset val="204"/>
      <family val="2"/>
      <color theme="10"/>
      <sz val="10"/>
      <u val="single"/>
    </font>
    <font>
      <name val="Calibri"/>
      <charset val="204"/>
      <family val="2"/>
      <b val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1" fillId="0" borderId="0"/>
    <xf numFmtId="0" fontId="2" fillId="0" borderId="0"/>
    <xf numFmtId="0" fontId="3" fillId="0" borderId="0"/>
    <xf numFmtId="9" fontId="2" fillId="0" borderId="0"/>
    <xf numFmtId="0" fontId="8" fillId="0" borderId="0"/>
    <xf numFmtId="0" fontId="11" fillId="0" borderId="0"/>
    <xf numFmtId="0" fontId="2" fillId="0" borderId="0"/>
  </cellStyleXfs>
  <cellXfs count="74">
    <xf numFmtId="0" fontId="0" fillId="0" borderId="0" pivotButton="0" quotePrefix="0" xfId="0"/>
    <xf numFmtId="14" fontId="2" fillId="0" borderId="0" pivotButton="0" quotePrefix="0" xfId="1"/>
    <xf numFmtId="0" fontId="2" fillId="0" borderId="0" pivotButton="0" quotePrefix="0" xfId="1"/>
    <xf numFmtId="0" fontId="1" fillId="0" borderId="0" pivotButton="0" quotePrefix="0" xfId="2"/>
    <xf numFmtId="164" fontId="6" fillId="0" borderId="0" pivotButton="0" quotePrefix="0" xfId="3"/>
    <xf numFmtId="10" fontId="6" fillId="0" borderId="0" pivotButton="0" quotePrefix="0" xfId="3"/>
    <xf numFmtId="10" fontId="7" fillId="0" borderId="0" pivotButton="0" quotePrefix="0" xfId="3"/>
    <xf numFmtId="165" fontId="6" fillId="0" borderId="6" applyAlignment="1" pivotButton="0" quotePrefix="0" xfId="1">
      <alignment horizontal="right"/>
    </xf>
    <xf numFmtId="4" fontId="6" fillId="0" borderId="0" applyAlignment="1" pivotButton="0" quotePrefix="0" xfId="2">
      <alignment horizontal="left"/>
    </xf>
    <xf numFmtId="0" fontId="9" fillId="0" borderId="0" pivotButton="0" quotePrefix="0" xfId="1"/>
    <xf numFmtId="0" fontId="10" fillId="0" borderId="0" applyAlignment="1" pivotButton="0" quotePrefix="0" xfId="1">
      <alignment horizontal="left"/>
    </xf>
    <xf numFmtId="3" fontId="6" fillId="0" borderId="8" applyAlignment="1" pivotButton="0" quotePrefix="0" xfId="2">
      <alignment horizontal="left"/>
    </xf>
    <xf numFmtId="3" fontId="6" fillId="0" borderId="9" applyAlignment="1" pivotButton="0" quotePrefix="0" xfId="2">
      <alignment horizontal="left"/>
    </xf>
    <xf numFmtId="4" fontId="6" fillId="0" borderId="9" applyAlignment="1" pivotButton="0" quotePrefix="0" xfId="2">
      <alignment horizontal="left"/>
    </xf>
    <xf numFmtId="4" fontId="6" fillId="0" borderId="10" applyAlignment="1" pivotButton="0" quotePrefix="0" xfId="2">
      <alignment horizontal="left"/>
    </xf>
    <xf numFmtId="166" fontId="4" fillId="3" borderId="2" applyAlignment="1" pivotButton="0" quotePrefix="0" xfId="1">
      <alignment horizontal="center"/>
    </xf>
    <xf numFmtId="167" fontId="4" fillId="3" borderId="6" applyAlignment="1" pivotButton="0" quotePrefix="0" xfId="1">
      <alignment horizontal="center"/>
    </xf>
    <xf numFmtId="167" fontId="5" fillId="3" borderId="6" applyAlignment="1" pivotButton="0" quotePrefix="0" xfId="2">
      <alignment horizontal="right"/>
    </xf>
    <xf numFmtId="168" fontId="4" fillId="3" borderId="0" applyAlignment="1" pivotButton="0" quotePrefix="0" xfId="1">
      <alignment horizontal="center"/>
    </xf>
    <xf numFmtId="168" fontId="5" fillId="3" borderId="0" applyAlignment="1" pivotButton="0" quotePrefix="0" xfId="2">
      <alignment horizontal="right"/>
    </xf>
    <xf numFmtId="169" fontId="6" fillId="0" borderId="0" pivotButton="0" quotePrefix="0" xfId="2"/>
    <xf numFmtId="170" fontId="6" fillId="0" borderId="0" pivotButton="0" quotePrefix="0" xfId="2"/>
    <xf numFmtId="3" fontId="7" fillId="0" borderId="0" applyAlignment="1" pivotButton="0" quotePrefix="0" xfId="1">
      <alignment horizontal="center"/>
    </xf>
    <xf numFmtId="165" fontId="7" fillId="0" borderId="0" applyAlignment="1" pivotButton="0" quotePrefix="0" xfId="1">
      <alignment horizontal="right"/>
    </xf>
    <xf numFmtId="166" fontId="5" fillId="3" borderId="2" applyAlignment="1" pivotButton="0" quotePrefix="0" xfId="2">
      <alignment horizontal="right"/>
    </xf>
    <xf numFmtId="164" fontId="6" fillId="0" borderId="2" pivotButton="0" quotePrefix="0" xfId="3"/>
    <xf numFmtId="164" fontId="6" fillId="0" borderId="11" pivotButton="0" quotePrefix="0" xfId="3"/>
    <xf numFmtId="164" fontId="6" fillId="0" borderId="3" pivotButton="0" quotePrefix="0" xfId="3"/>
    <xf numFmtId="170" fontId="6" fillId="0" borderId="3" pivotButton="0" quotePrefix="0" xfId="2"/>
    <xf numFmtId="165" fontId="6" fillId="0" borderId="7" applyAlignment="1" pivotButton="0" quotePrefix="0" xfId="1">
      <alignment horizontal="right"/>
    </xf>
    <xf numFmtId="0" fontId="2" fillId="0" borderId="0" pivotButton="0" quotePrefix="0" xfId="6"/>
    <xf numFmtId="14" fontId="12" fillId="2" borderId="1" pivotButton="0" quotePrefix="0" xfId="2"/>
    <xf numFmtId="167" fontId="5" fillId="3" borderId="0" applyAlignment="1" pivotButton="0" quotePrefix="0" xfId="2">
      <alignment horizontal="right"/>
    </xf>
    <xf numFmtId="166" fontId="5" fillId="3" borderId="8" applyAlignment="1" pivotButton="0" quotePrefix="0" xfId="2">
      <alignment horizontal="right"/>
    </xf>
    <xf numFmtId="166" fontId="5" fillId="3" borderId="11" applyAlignment="1" pivotButton="0" quotePrefix="0" xfId="2">
      <alignment horizontal="right"/>
    </xf>
    <xf numFmtId="168" fontId="5" fillId="3" borderId="9" applyAlignment="1" pivotButton="0" quotePrefix="0" xfId="2">
      <alignment horizontal="right"/>
    </xf>
    <xf numFmtId="168" fontId="5" fillId="3" borderId="3" applyAlignment="1" pivotButton="0" quotePrefix="0" xfId="2">
      <alignment horizontal="right"/>
    </xf>
    <xf numFmtId="167" fontId="5" fillId="3" borderId="9" applyAlignment="1" pivotButton="0" quotePrefix="0" xfId="2">
      <alignment horizontal="right"/>
    </xf>
    <xf numFmtId="167" fontId="5" fillId="3" borderId="3" applyAlignment="1" pivotButton="0" quotePrefix="0" xfId="2">
      <alignment horizontal="right"/>
    </xf>
    <xf numFmtId="167" fontId="5" fillId="3" borderId="10" applyAlignment="1" pivotButton="0" quotePrefix="0" xfId="2">
      <alignment horizontal="right"/>
    </xf>
    <xf numFmtId="167" fontId="5" fillId="3" borderId="7" applyAlignment="1" pivotButton="0" quotePrefix="0" xfId="2">
      <alignment horizontal="right"/>
    </xf>
    <xf numFmtId="166" fontId="6" fillId="3" borderId="1" applyAlignment="1" pivotButton="0" quotePrefix="0" xfId="1">
      <alignment horizontal="center"/>
    </xf>
    <xf numFmtId="166" fontId="6" fillId="3" borderId="4" applyAlignment="1" pivotButton="0" quotePrefix="0" xfId="1">
      <alignment horizontal="center"/>
    </xf>
    <xf numFmtId="166" fontId="6" fillId="3" borderId="5" applyAlignment="1" pivotButton="0" quotePrefix="0" xfId="1">
      <alignment horizontal="center"/>
    </xf>
    <xf numFmtId="166" fontId="4" fillId="3" borderId="2" applyAlignment="1" pivotButton="0" quotePrefix="0" xfId="1">
      <alignment horizontal="center"/>
    </xf>
    <xf numFmtId="166" fontId="6" fillId="3" borderId="1" applyAlignment="1" pivotButton="0" quotePrefix="0" xfId="1">
      <alignment horizontal="center"/>
    </xf>
    <xf numFmtId="166" fontId="5" fillId="3" borderId="8" applyAlignment="1" pivotButton="0" quotePrefix="0" xfId="2">
      <alignment horizontal="right"/>
    </xf>
    <xf numFmtId="166" fontId="5" fillId="3" borderId="2" applyAlignment="1" pivotButton="0" quotePrefix="0" xfId="2">
      <alignment horizontal="right"/>
    </xf>
    <xf numFmtId="166" fontId="5" fillId="3" borderId="11" applyAlignment="1" pivotButton="0" quotePrefix="0" xfId="2">
      <alignment horizontal="right"/>
    </xf>
    <xf numFmtId="168" fontId="4" fillId="3" borderId="0" applyAlignment="1" pivotButton="0" quotePrefix="0" xfId="1">
      <alignment horizontal="center"/>
    </xf>
    <xf numFmtId="166" fontId="6" fillId="3" borderId="4" applyAlignment="1" pivotButton="0" quotePrefix="0" xfId="1">
      <alignment horizontal="center"/>
    </xf>
    <xf numFmtId="168" fontId="5" fillId="3" borderId="9" applyAlignment="1" pivotButton="0" quotePrefix="0" xfId="2">
      <alignment horizontal="right"/>
    </xf>
    <xf numFmtId="168" fontId="5" fillId="3" borderId="0" applyAlignment="1" pivotButton="0" quotePrefix="0" xfId="2">
      <alignment horizontal="right"/>
    </xf>
    <xf numFmtId="168" fontId="5" fillId="3" borderId="3" applyAlignment="1" pivotButton="0" quotePrefix="0" xfId="2">
      <alignment horizontal="right"/>
    </xf>
    <xf numFmtId="167" fontId="5" fillId="3" borderId="9" applyAlignment="1" pivotButton="0" quotePrefix="0" xfId="2">
      <alignment horizontal="right"/>
    </xf>
    <xf numFmtId="167" fontId="5" fillId="3" borderId="0" applyAlignment="1" pivotButton="0" quotePrefix="0" xfId="2">
      <alignment horizontal="right"/>
    </xf>
    <xf numFmtId="167" fontId="5" fillId="3" borderId="3" applyAlignment="1" pivotButton="0" quotePrefix="0" xfId="2">
      <alignment horizontal="right"/>
    </xf>
    <xf numFmtId="169" fontId="6" fillId="0" borderId="0" pivotButton="0" quotePrefix="0" xfId="2"/>
    <xf numFmtId="170" fontId="6" fillId="0" borderId="0" pivotButton="0" quotePrefix="0" xfId="2"/>
    <xf numFmtId="170" fontId="6" fillId="0" borderId="3" pivotButton="0" quotePrefix="0" xfId="2"/>
    <xf numFmtId="167" fontId="4" fillId="3" borderId="6" applyAlignment="1" pivotButton="0" quotePrefix="0" xfId="1">
      <alignment horizontal="center"/>
    </xf>
    <xf numFmtId="166" fontId="6" fillId="3" borderId="5" applyAlignment="1" pivotButton="0" quotePrefix="0" xfId="1">
      <alignment horizontal="center"/>
    </xf>
    <xf numFmtId="167" fontId="5" fillId="3" borderId="10" applyAlignment="1" pivotButton="0" quotePrefix="0" xfId="2">
      <alignment horizontal="right"/>
    </xf>
    <xf numFmtId="167" fontId="5" fillId="3" borderId="6" applyAlignment="1" pivotButton="0" quotePrefix="0" xfId="2">
      <alignment horizontal="right"/>
    </xf>
    <xf numFmtId="167" fontId="5" fillId="3" borderId="7" applyAlignment="1" pivotButton="0" quotePrefix="0" xfId="2">
      <alignment horizontal="right"/>
    </xf>
    <xf numFmtId="165" fontId="6" fillId="0" borderId="6" applyAlignment="1" pivotButton="0" quotePrefix="0" xfId="1">
      <alignment horizontal="right"/>
    </xf>
    <xf numFmtId="165" fontId="6" fillId="0" borderId="7" applyAlignment="1" pivotButton="0" quotePrefix="0" xfId="1">
      <alignment horizontal="right"/>
    </xf>
    <xf numFmtId="165" fontId="7" fillId="0" borderId="0" applyAlignment="1" pivotButton="0" quotePrefix="0" xfId="1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6" fillId="0" borderId="0" pivotButton="0" quotePrefix="0" xfId="0"/>
  </cellXfs>
  <cellStyles count="7">
    <cellStyle name="Обычный" xfId="0" builtinId="0"/>
    <cellStyle name="Обычный 2" xfId="1"/>
    <cellStyle name="Обычный 3" xfId="2"/>
    <cellStyle name="Процентный 2" xfId="3"/>
    <cellStyle name="Normal" xfId="4"/>
    <cellStyle name="Гиперссылка 2" xfId="5"/>
    <cellStyle name="Обычный 2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4"/>
  <sheetViews>
    <sheetView tabSelected="1" zoomScaleNormal="100" workbookViewId="0">
      <selection activeCell="A16" sqref="A16"/>
    </sheetView>
  </sheetViews>
  <sheetFormatPr baseColWidth="8" defaultRowHeight="12.75"/>
  <cols>
    <col width="28.7109375" customWidth="1" style="2" min="1" max="1"/>
    <col width="16.140625" customWidth="1" style="2" min="2" max="2"/>
    <col width="11" customWidth="1" style="2" min="3" max="3"/>
    <col width="10.140625" bestFit="1" customWidth="1" style="2" min="4" max="13"/>
    <col width="9.140625" customWidth="1" style="2" min="14" max="16384"/>
  </cols>
  <sheetData>
    <row r="2">
      <c r="A2" s="1" t="n"/>
    </row>
    <row r="3" ht="15" customHeight="1">
      <c r="A3" s="2" t="inlineStr">
        <is>
          <t>CNY GPT</t>
        </is>
      </c>
      <c r="B3" s="30" t="n">
        <v>2015</v>
      </c>
      <c r="C3" s="30">
        <f>B3+1</f>
        <v/>
      </c>
      <c r="D3" s="30">
        <f>C3+1</f>
        <v/>
      </c>
      <c r="E3" s="30">
        <f>D3+1</f>
        <v/>
      </c>
      <c r="F3" s="30">
        <f>E3+1</f>
        <v/>
      </c>
      <c r="G3" s="30">
        <f>F3+1</f>
        <v/>
      </c>
      <c r="H3" s="30">
        <f>G3+1</f>
        <v/>
      </c>
      <c r="I3" s="30">
        <f>H3+1</f>
        <v/>
      </c>
      <c r="J3" s="30">
        <f>I3+1</f>
        <v/>
      </c>
      <c r="K3" s="30">
        <f>J3+1</f>
        <v/>
      </c>
      <c r="L3" s="30">
        <f>K3+1</f>
        <v/>
      </c>
      <c r="M3" s="31" t="n">
        <v>46112</v>
      </c>
      <c r="N3" s="30" t="n">
        <v>2026</v>
      </c>
      <c r="O3" s="30" t="n">
        <v>2027</v>
      </c>
      <c r="P3" s="30" t="n">
        <v>2028</v>
      </c>
      <c r="Q3" s="30" t="n">
        <v>2029</v>
      </c>
      <c r="R3" s="30" t="n">
        <v>2030</v>
      </c>
      <c r="S3" s="30" t="n">
        <v>2031</v>
      </c>
    </row>
    <row r="4" ht="15" customFormat="1" customHeight="1" s="3">
      <c r="A4" s="11" t="inlineStr">
        <is>
          <t>Выручка, млн CNY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5" t="n"/>
      <c r="N4" s="46" t="n"/>
      <c r="O4" s="47" t="n"/>
      <c r="P4" s="48" t="n"/>
      <c r="Q4" s="25" t="n"/>
      <c r="R4" s="25" t="n"/>
      <c r="S4" s="26" t="n"/>
      <c r="T4" s="5" t="n"/>
      <c r="U4" s="5" t="n"/>
      <c r="V4" s="5" t="n"/>
    </row>
    <row r="5" ht="15" customFormat="1" customHeight="1" s="3">
      <c r="A5" s="13" t="inlineStr">
        <is>
          <t>BVPS, CNY/акц.</t>
        </is>
      </c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50" t="n"/>
      <c r="N5" s="51" t="n"/>
      <c r="O5" s="52" t="n"/>
      <c r="P5" s="53" t="n"/>
      <c r="Q5" s="4" t="n"/>
      <c r="R5" s="4" t="n"/>
      <c r="S5" s="27" t="n"/>
      <c r="T5" s="6" t="n"/>
      <c r="U5" s="6" t="n"/>
      <c r="V5" s="6" t="n"/>
    </row>
    <row r="6" ht="15" customFormat="1" customHeight="1" s="3">
      <c r="A6" s="12" t="inlineStr">
        <is>
          <t>EPS diluted, CNY/акц. (Разводненная прибыль)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50" t="n"/>
      <c r="N6" s="54" t="n"/>
      <c r="O6" s="55" t="n"/>
      <c r="P6" s="56" t="n"/>
      <c r="Q6" s="57" t="n"/>
      <c r="R6" s="58" t="n"/>
      <c r="S6" s="59" t="n"/>
      <c r="T6" s="22" t="n"/>
      <c r="U6" s="22" t="n"/>
      <c r="V6" s="22" t="n"/>
    </row>
    <row r="7" ht="15" customFormat="1" customHeight="1" s="3">
      <c r="A7" s="14" t="inlineStr">
        <is>
          <t>Дивиденд annual DPS, CNY/акц.</t>
        </is>
      </c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n"/>
      <c r="N7" s="62" t="n"/>
      <c r="O7" s="63" t="n"/>
      <c r="P7" s="64" t="n"/>
      <c r="Q7" s="65" t="n"/>
      <c r="R7" s="65" t="n"/>
      <c r="S7" s="66" t="n"/>
      <c r="T7" s="67" t="n"/>
      <c r="U7" s="67" t="n"/>
      <c r="V7" s="67" t="n"/>
    </row>
    <row r="8" ht="15" customFormat="1" customHeight="1" s="3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5" customHeight="1">
      <c r="A9" s="8" t="inlineStr">
        <is>
          <t>Курс 1 CNY в HKD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8" t="inlineStr">
        <is>
          <t>Источники прогнозов по брокерам</t>
        </is>
      </c>
    </row>
    <row r="2">
      <c r="A2" s="69" t="inlineStr">
        <is>
          <t>Брокер / аналитический дом, давший прогноз</t>
        </is>
      </c>
      <c r="B2" s="69" t="inlineStr">
        <is>
          <t>Дата публикации прогноза</t>
        </is>
      </c>
      <c r="C2" s="69" t="inlineStr">
        <is>
          <t>Финансовый год, на который дан прогноз</t>
        </is>
      </c>
      <c r="D2" s="69" t="inlineStr">
        <is>
          <t>Прогноз EPS (прибыль на акцию) на этот год</t>
        </is>
      </c>
      <c r="E2" s="69" t="inlineStr">
        <is>
          <t>Прогноз DPS (дивиденд на акцию), если брокер его даёт</t>
        </is>
      </c>
      <c r="F2" s="69" t="inlineStr">
        <is>
          <t>Целевая цена акции от этого брокера</t>
        </is>
      </c>
      <c r="G2" s="69" t="inlineStr">
        <is>
          <t>Рейтинг брокера (Buy/Hold/Sell и аналоги)</t>
        </is>
      </c>
    </row>
    <row r="3">
      <c r="A3" s="70" t="inlineStr">
        <is>
          <t>Брокер</t>
        </is>
      </c>
      <c r="B3" s="70" t="inlineStr">
        <is>
          <t>Дата прогноза</t>
        </is>
      </c>
      <c r="C3" s="70" t="inlineStr">
        <is>
          <t>Финансовый год</t>
        </is>
      </c>
      <c r="D3" s="70" t="inlineStr">
        <is>
          <t>EPS</t>
        </is>
      </c>
      <c r="E3" s="70" t="inlineStr">
        <is>
          <t>DPS</t>
        </is>
      </c>
      <c r="F3" s="70" t="inlineStr">
        <is>
          <t>Целевая цена</t>
        </is>
      </c>
      <c r="G3" s="70" t="inlineStr">
        <is>
          <t>Рейтинг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4" customWidth="1" min="4" max="4"/>
    <col width="30" customWidth="1" min="5" max="5"/>
    <col width="40" customWidth="1" min="6" max="6"/>
    <col width="22" customWidth="1" min="7" max="7"/>
  </cols>
  <sheetData>
    <row r="1">
      <c r="A1" s="68" t="inlineStr">
        <is>
          <t>Пояснения к таблице: откуда взята каждая цифра</t>
        </is>
      </c>
    </row>
    <row r="2">
      <c r="A2" s="69" t="inlineStr">
        <is>
          <t>Заполняется автоматически вместе с таблицей. По каждой строке видно, из какого источника взято значение, в каких единицах и что важно учесть перед использованием в модели.</t>
        </is>
      </c>
    </row>
    <row r="4" ht="32" customHeight="1">
      <c r="A4" s="71" t="inlineStr">
        <is>
          <t>Строка таблицы</t>
        </is>
      </c>
      <c r="B4" s="71" t="inlineStr">
        <is>
          <t>Факт: откуда</t>
        </is>
      </c>
      <c r="C4" s="71" t="inlineStr">
        <is>
          <t>Прогноз: откуда</t>
        </is>
      </c>
      <c r="D4" s="71" t="inlineStr">
        <is>
          <t>Что именно за показатель</t>
        </is>
      </c>
      <c r="E4" s="71" t="inlineStr">
        <is>
          <t>Единицы и пересчёты</t>
        </is>
      </c>
      <c r="F4" s="71" t="inlineStr">
        <is>
          <t>Ограничения, на что смотреть</t>
        </is>
      </c>
      <c r="G4" s="71" t="inlineStr">
        <is>
          <t>Дата получения (retrieved_at)</t>
        </is>
      </c>
    </row>
    <row r="5" ht="46" customHeight="1">
      <c r="A5" s="72" t="inlineStr">
        <is>
          <t>Выручка, млн CNY</t>
        </is>
      </c>
    </row>
    <row r="6" ht="46" customHeight="1">
      <c r="A6" s="72" t="inlineStr">
        <is>
          <t>BVPS, CNY/акц.</t>
        </is>
      </c>
    </row>
    <row r="7" ht="46" customHeight="1">
      <c r="A7" s="72" t="inlineStr">
        <is>
          <t>EPS diluted, CNY/акц.</t>
        </is>
      </c>
    </row>
    <row r="8" ht="46" customHeight="1">
      <c r="A8" s="72" t="inlineStr">
        <is>
          <t>Дивиденд annual DPS, CNY/акц.</t>
        </is>
      </c>
    </row>
    <row r="9" ht="46" customHeight="1">
      <c r="A9" s="72" t="inlineStr">
        <is>
          <t>Курс 1 CNY в HKD</t>
        </is>
      </c>
    </row>
    <row r="12">
      <c r="A12" s="73" t="inlineStr">
        <is>
          <t>Общие замечания</t>
        </is>
      </c>
    </row>
    <row r="13">
      <c r="A13" s="70" t="inlineStr">
        <is>
          <t>Тема</t>
        </is>
      </c>
      <c r="B13" s="70" t="inlineStr">
        <is>
          <t>Пояснение</t>
        </is>
      </c>
    </row>
    <row r="14" ht="46" customHeight="1">
      <c r="A14" s="72" t="inlineStr">
        <is>
          <t>Финансовый год</t>
        </is>
      </c>
    </row>
    <row r="15" ht="46" customHeight="1">
      <c r="A15" s="72" t="inlineStr">
        <is>
          <t>Последняя фактическая точка</t>
        </is>
      </c>
    </row>
    <row r="16" ht="46" customHeight="1">
      <c r="A16" s="72" t="inlineStr">
        <is>
          <t>Выбросы среди прогнозов</t>
        </is>
      </c>
    </row>
    <row r="17" ht="46" customHeight="1">
      <c r="A17" s="72" t="inlineStr">
        <is>
          <t>Число брокеров</t>
        </is>
      </c>
    </row>
    <row r="18" ht="46" customHeight="1">
      <c r="A18" s="72" t="inlineStr">
        <is>
          <t>Чего нет в источниках</t>
        </is>
      </c>
    </row>
    <row r="19" ht="46" customHeight="1">
      <c r="A19" s="72" t="inlineStr">
        <is>
          <t>Что проверить перед сдачей клиенту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Kirill</dc:creator>
  <dcterms:created xmlns:dcterms="http://purl.org/dc/terms/" xmlns:xsi="http://www.w3.org/2001/XMLSchema-instance" xsi:type="dcterms:W3CDTF">2026-07-13T07:51:32Z</dcterms:created>
  <dcterms:modified xmlns:dcterms="http://purl.org/dc/terms/" xmlns:xsi="http://www.w3.org/2001/XMLSchema-instance" xsi:type="dcterms:W3CDTF">2026-08-20T10:00:52Z</dcterms:modified>
  <cp:lastModifiedBy>Kirill</cp:lastModifiedBy>
</cp:coreProperties>
</file>